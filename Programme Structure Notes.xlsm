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956cac97e76362d/Documents/Udacity/Full Stack Developer/UdacityFyyurApp/"/>
    </mc:Choice>
  </mc:AlternateContent>
  <xr:revisionPtr revIDLastSave="611" documentId="8_{45EC7657-C07F-CF4E-B2A4-E3FF2FB43FCF}" xr6:coauthVersionLast="47" xr6:coauthVersionMax="47" xr10:uidLastSave="{2CB64DCE-B628-6F4F-97B4-C2AD258FECD6}"/>
  <bookViews>
    <workbookView xWindow="0" yWindow="460" windowWidth="25600" windowHeight="28340" activeTab="3" xr2:uid="{555FCE1F-713B-CC45-B3ED-A004DF5E5599}"/>
  </bookViews>
  <sheets>
    <sheet name="app.py" sheetId="1" r:id="rId1"/>
    <sheet name="TODOs" sheetId="2" r:id="rId2"/>
    <sheet name="Tables" sheetId="3" r:id="rId3"/>
    <sheet name="Scratchpad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" i="4" l="1"/>
  <c r="D32" i="4"/>
  <c r="D33" i="4"/>
  <c r="D34" i="4"/>
  <c r="D35" i="4"/>
  <c r="D36" i="4"/>
  <c r="D37" i="4"/>
  <c r="D38" i="4"/>
  <c r="D39" i="4"/>
  <c r="D40" i="4"/>
  <c r="D41" i="4"/>
  <c r="D30" i="4"/>
  <c r="B31" i="4"/>
  <c r="B32" i="4"/>
  <c r="B33" i="4"/>
  <c r="B34" i="4"/>
  <c r="B35" i="4"/>
  <c r="B36" i="4"/>
  <c r="B37" i="4"/>
  <c r="B38" i="4"/>
  <c r="B39" i="4"/>
  <c r="B40" i="4"/>
  <c r="B41" i="4"/>
  <c r="B30" i="4"/>
  <c r="D22" i="4"/>
  <c r="D23" i="4"/>
  <c r="D24" i="4"/>
  <c r="D25" i="4"/>
  <c r="D26" i="4"/>
  <c r="D27" i="4"/>
  <c r="D28" i="4"/>
  <c r="D21" i="4"/>
  <c r="B22" i="4"/>
  <c r="B23" i="4"/>
  <c r="B24" i="4"/>
  <c r="B25" i="4"/>
  <c r="B26" i="4"/>
  <c r="B27" i="4"/>
  <c r="B28" i="4"/>
  <c r="B21" i="4"/>
  <c r="A6" i="2"/>
  <c r="A5" i="2"/>
  <c r="A4" i="2"/>
  <c r="A3" i="2"/>
</calcChain>
</file>

<file path=xl/sharedStrings.xml><?xml version="1.0" encoding="utf-8"?>
<sst xmlns="http://schemas.openxmlformats.org/spreadsheetml/2006/main" count="368" uniqueCount="198">
  <si>
    <t>Filename</t>
  </si>
  <si>
    <t>Type</t>
  </si>
  <si>
    <t>Name</t>
  </si>
  <si>
    <t>Route</t>
  </si>
  <si>
    <t>app.py</t>
  </si>
  <si>
    <t>Model Class</t>
  </si>
  <si>
    <t>Venue</t>
  </si>
  <si>
    <t>Artist</t>
  </si>
  <si>
    <t>Table Name</t>
  </si>
  <si>
    <t>Function</t>
  </si>
  <si>
    <t>format_datetime</t>
  </si>
  <si>
    <t>Description</t>
  </si>
  <si>
    <t>Set up formatting for date/time fields</t>
  </si>
  <si>
    <t>index</t>
  </si>
  <si>
    <t>'/'</t>
  </si>
  <si>
    <t>render_template</t>
  </si>
  <si>
    <t>pages/home.html</t>
  </si>
  <si>
    <t>venues</t>
  </si>
  <si>
    <t>'/venues'</t>
  </si>
  <si>
    <t>pages/venues.html</t>
  </si>
  <si>
    <t>Arguments</t>
  </si>
  <si>
    <t>search_venues</t>
  </si>
  <si>
    <t>/venues/search</t>
  </si>
  <si>
    <t>pages/search_venues.html</t>
  </si>
  <si>
    <t>areas = venues dataset</t>
  </si>
  <si>
    <t>results = search result dataset, search_term = search_term from form</t>
  </si>
  <si>
    <t>show_venue(venue_id)</t>
  </si>
  <si>
    <t>/venues/&lt;int:venue_id&gt;</t>
  </si>
  <si>
    <t>pages/show_venue.html</t>
  </si>
  <si>
    <t>venue = venues dataset filtered on venue_id</t>
  </si>
  <si>
    <t>create_venue_submission</t>
  </si>
  <si>
    <t>/venues/create</t>
  </si>
  <si>
    <t>forms/new_venue.html</t>
  </si>
  <si>
    <t>form = VenueForm()</t>
  </si>
  <si>
    <t>Method</t>
  </si>
  <si>
    <t>POST</t>
  </si>
  <si>
    <t>GET</t>
  </si>
  <si>
    <t>create_venue_form</t>
  </si>
  <si>
    <t>delete_venue</t>
  </si>
  <si>
    <t>/venues/&lt;venue_id&gt;</t>
  </si>
  <si>
    <t>DELETE</t>
  </si>
  <si>
    <t>artists</t>
  </si>
  <si>
    <t>/artists</t>
  </si>
  <si>
    <t>pages/artists.html</t>
  </si>
  <si>
    <t>artists = artist dataset</t>
  </si>
  <si>
    <t>search_artists</t>
  </si>
  <si>
    <t>/artists/search</t>
  </si>
  <si>
    <t>pages/search_artists.html</t>
  </si>
  <si>
    <t>show_artist(artist_id)</t>
  </si>
  <si>
    <t>/artists/&lt;int:artist_id&gt;</t>
  </si>
  <si>
    <t>pages/show_artist.html</t>
  </si>
  <si>
    <t>artist = artists dataset filtered on artist_id</t>
  </si>
  <si>
    <t>edit_artist(artist_id)</t>
  </si>
  <si>
    <t>/artists/&lt;int:artist_id&gt;/edit</t>
  </si>
  <si>
    <t>forms/edit_artist.html</t>
  </si>
  <si>
    <t>form = ArtistForm(), artist = artist_id</t>
  </si>
  <si>
    <t>edit_artist_submission(artist_id)</t>
  </si>
  <si>
    <t>redirect</t>
  </si>
  <si>
    <t>show_artist</t>
  </si>
  <si>
    <t>artist_id = artist_id</t>
  </si>
  <si>
    <t>edit_venue(venue_id)</t>
  </si>
  <si>
    <t>/venues/&lt;int:venue_id&gt;/edit</t>
  </si>
  <si>
    <t>forms/edit_venue.html</t>
  </si>
  <si>
    <t>form = VenueForm(), venue = venue_id</t>
  </si>
  <si>
    <t>edit_venue_submission(venue_id)</t>
  </si>
  <si>
    <t>show_venue</t>
  </si>
  <si>
    <t>venue_id = venue_id</t>
  </si>
  <si>
    <t>create_artist_form()</t>
  </si>
  <si>
    <t>/artists/create</t>
  </si>
  <si>
    <t>forms/new_artist.html</t>
  </si>
  <si>
    <t>form = ArtistForm()</t>
  </si>
  <si>
    <t>create_artist_submission()</t>
  </si>
  <si>
    <t>shows()</t>
  </si>
  <si>
    <t>/shows</t>
  </si>
  <si>
    <t>pages/shows.html</t>
  </si>
  <si>
    <t>shows = shows dataset</t>
  </si>
  <si>
    <t>create_shows()</t>
  </si>
  <si>
    <t>/shows/create</t>
  </si>
  <si>
    <t>forms/new_show.html</t>
  </si>
  <si>
    <t>form = ShowForm()</t>
  </si>
  <si>
    <t>create_show_submission()</t>
  </si>
  <si>
    <t>not_found_error(error)</t>
  </si>
  <si>
    <t>Extends app.errorhandler(404)</t>
  </si>
  <si>
    <t>errors/404.html</t>
  </si>
  <si>
    <t>server_error(error)</t>
  </si>
  <si>
    <t>Extends app.errorhandler(500)</t>
  </si>
  <si>
    <t>errors/500.html</t>
  </si>
  <si>
    <t>TODO_ID</t>
  </si>
  <si>
    <t>TODO</t>
  </si>
  <si>
    <t>Connect to a local postgresql database</t>
  </si>
  <si>
    <t>ACTIONS</t>
  </si>
  <si>
    <t>Create database in Postgresql. Database name = 'fyyurdev'.</t>
  </si>
  <si>
    <t>Implement database URL</t>
  </si>
  <si>
    <t>In 'config.py' set SQLALCHEMY_DATABASE_URI' property to 'postgresql://stephenusher@localhost:5432/fyyurdev'</t>
  </si>
  <si>
    <t>TOPIC</t>
  </si>
  <si>
    <t>app.py App Config / config.py</t>
  </si>
  <si>
    <t>Implement any missing fields, as a database migration using Flask-Migrate</t>
  </si>
  <si>
    <t>app.py Models - Venue table</t>
  </si>
  <si>
    <t>app.py Models - Artist table</t>
  </si>
  <si>
    <t>Venue Table</t>
  </si>
  <si>
    <t>Columns</t>
  </si>
  <si>
    <t>venueid</t>
  </si>
  <si>
    <t>name</t>
  </si>
  <si>
    <t>city</t>
  </si>
  <si>
    <t>state</t>
  </si>
  <si>
    <t>address</t>
  </si>
  <si>
    <t>phone</t>
  </si>
  <si>
    <t>image_link</t>
  </si>
  <si>
    <t>facebook_link</t>
  </si>
  <si>
    <t>Integer</t>
  </si>
  <si>
    <t>String</t>
  </si>
  <si>
    <t>Nullable</t>
  </si>
  <si>
    <t>DEFAULT</t>
  </si>
  <si>
    <t>nextval</t>
  </si>
  <si>
    <t>Artist Table</t>
  </si>
  <si>
    <t>artistid</t>
  </si>
  <si>
    <t>genres</t>
  </si>
  <si>
    <t>venues()</t>
  </si>
  <si>
    <t>venues.city</t>
  </si>
  <si>
    <t>venues.state</t>
  </si>
  <si>
    <t>venues.venueid</t>
  </si>
  <si>
    <t>venues.name</t>
  </si>
  <si>
    <t>GROUP</t>
  </si>
  <si>
    <t>num_upcoming_shows</t>
  </si>
  <si>
    <t>CALC</t>
  </si>
  <si>
    <t>Need Shows Table</t>
  </si>
  <si>
    <t>SELECT city, state, venueid, name FROM Venue;</t>
  </si>
  <si>
    <t>The Musical Hop</t>
  </si>
  <si>
    <t>San Francisco</t>
  </si>
  <si>
    <t>CA</t>
  </si>
  <si>
    <t>1015 Folsom Street</t>
  </si>
  <si>
    <t>123-123-1234</t>
  </si>
  <si>
    <t>https://www.facebook.com/TheMusicalHop</t>
  </si>
  <si>
    <t>https://images.unsplash.com/photo-1549213783-8284d0336c4f?ixlib=rb-1.2.1&amp;ixid=eyJhcHBfaWQiOjEyMDd9&amp;auto=format&amp;fit=crop&amp;w=300&amp;q=80</t>
  </si>
  <si>
    <t>website</t>
  </si>
  <si>
    <t>seeking_talent</t>
  </si>
  <si>
    <t>seeking_description</t>
  </si>
  <si>
    <t>past_shows</t>
  </si>
  <si>
    <t>upcoming_shows</t>
  </si>
  <si>
    <t>past_shows_count</t>
  </si>
  <si>
    <t>upcoming_shows_count</t>
  </si>
  <si>
    <t>The Dueling Pianos Bar</t>
  </si>
  <si>
    <t>New York</t>
  </si>
  <si>
    <t>NY</t>
  </si>
  <si>
    <t>335 Delancey Street</t>
  </si>
  <si>
    <t>914-003-1132</t>
  </si>
  <si>
    <t>https://images.unsplash.com/photo-1497032205916-ac775f0649ae?ixlib=rb-1.2.1&amp;ixid=eyJhcHBfaWQiOjEyMDd9&amp;auto=format&amp;fit=crop&amp;w=750&amp;q=80</t>
  </si>
  <si>
    <t>https://www.facebook.com/theduelingpianos</t>
  </si>
  <si>
    <t>Park Square Live Music &amp; Coffee</t>
  </si>
  <si>
    <t>34 Whiskey Moore Ave</t>
  </si>
  <si>
    <t>415-000-1234</t>
  </si>
  <si>
    <t>https://images.unsplash.com/photo-1485686531765-ba63b07845a7?ixlib=rb-1.2.1&amp;ixid=eyJhcHBfaWQiOjEyMDd9&amp;auto=format&amp;fit=crop&amp;w=747&amp;q=80</t>
  </si>
  <si>
    <t>https://www.facebook.com/ParkSquareLiveMusicAndCoffee</t>
  </si>
  <si>
    <t>Shows Table</t>
  </si>
  <si>
    <t>showid</t>
  </si>
  <si>
    <t>start_time</t>
  </si>
  <si>
    <t>timestamp</t>
  </si>
  <si>
    <t>seeking_venue</t>
  </si>
  <si>
    <t>table</t>
  </si>
  <si>
    <t>calc</t>
  </si>
  <si>
    <t>query</t>
  </si>
  <si>
    <t>Guns N Petals</t>
  </si>
  <si>
    <t>326-123-5000</t>
  </si>
  <si>
    <t>https://www.gunsnpetalsband.com</t>
  </si>
  <si>
    <t>https://www.facebook.com/GunsNPetals</t>
  </si>
  <si>
    <t>Matt Quevedo</t>
  </si>
  <si>
    <t>300-400-5000</t>
  </si>
  <si>
    <t>https://images.unsplash.com/photo-1495223153807-b916f75de8c5?ixlib=rb-1.2.1&amp;ixid=eyJhcHBfaWQiOjEyMDd9&amp;auto=format&amp;fit=crop&amp;w=334&amp;q=80</t>
  </si>
  <si>
    <t>https://www.facebook.com/mattquevedo923251523</t>
  </si>
  <si>
    <t>The Wild Sax Band</t>
  </si>
  <si>
    <t>432-325-5432</t>
  </si>
  <si>
    <t>https://images.unsplash.com/photo-1558369981-f9ca78462e61?ixlib=rb-1.2.1&amp;ixid=eyJhcHBfaWQiOjEyMDd9&amp;auto=format&amp;fit=crop&amp;w=794&amp;q=80</t>
  </si>
  <si>
    <t>Genre</t>
  </si>
  <si>
    <t>genreid</t>
  </si>
  <si>
    <t>genre</t>
  </si>
  <si>
    <t>GenreAssoc</t>
  </si>
  <si>
    <t>genreassocid</t>
  </si>
  <si>
    <t>Jazz</t>
  </si>
  <si>
    <t>Reggae</t>
  </si>
  <si>
    <t>Swing</t>
  </si>
  <si>
    <t>Classical</t>
  </si>
  <si>
    <t>Folk</t>
  </si>
  <si>
    <t>Rock n Roll</t>
  </si>
  <si>
    <t>R&amp;B</t>
  </si>
  <si>
    <t>Hip-Hop</t>
  </si>
  <si>
    <t>We are on the lookout for a local artist to play every two weeks. Please call us.</t>
  </si>
  <si>
    <t>Alternative</t>
  </si>
  <si>
    <t>Blues</t>
  </si>
  <si>
    <t>Country</t>
  </si>
  <si>
    <t>Electronic</t>
  </si>
  <si>
    <t>Funk</t>
  </si>
  <si>
    <t>Heavy Metal</t>
  </si>
  <si>
    <t>Instrumental</t>
  </si>
  <si>
    <t>Musical Theatre</t>
  </si>
  <si>
    <t>Pop</t>
  </si>
  <si>
    <t>Punk</t>
  </si>
  <si>
    <t>Soul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</si>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</sst>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8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quotePrefix="1" applyBorder="1"/>
    <xf numFmtId="0" fontId="0" fillId="0" borderId="0" xfId="0" quotePrefix="1" applyFill="1" applyBorder="1"/>
    <xf numFmtId="0" fontId="0" fillId="0" borderId="0" xfId="0" applyFont="1" applyFill="1" applyBorder="1"/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0" fontId="2" fillId="0" borderId="0" xfId="2"/>
    <xf numFmtId="0" fontId="1" fillId="0" borderId="0" xfId="1" applyBorder="1"/>
  </cellXfs>
  <cellStyles count="3">
    <cellStyle name="Heading 1" xfId="1" builtinId="16"/>
    <cellStyle name="Hyperlink" xfId="2" builtinId="8"/>
    <cellStyle name="Normal" xfId="0" builtinId="0"/>
  </cellStyles>
  <dxfs count="3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8589CB-428E-EF43-8755-5F097C32ED57}" name="tblDefinitions" displayName="tblDefinitions" ref="A6:J30" totalsRowShown="0" headerRowDxfId="2">
  <autoFilter ref="A6:J30" xr:uid="{6DCD076B-5333-DB4A-BE4A-FA4F1E7F6493}"/>
  <tableColumns count="10">
    <tableColumn id="1" xr3:uid="{83020542-A296-FF4E-A814-761D700167F7}" name="Filename"/>
    <tableColumn id="2" xr3:uid="{339762C8-F878-B845-B850-E06ABF79328D}" name="Type"/>
    <tableColumn id="3" xr3:uid="{22EC6A9C-C307-DE45-A898-1D8A4799EC6E}" name="Name"/>
    <tableColumn id="4" xr3:uid="{BEB07BFA-0870-F549-8D71-42CECA433F93}" name="Description"/>
    <tableColumn id="5" xr3:uid="{60EBAEB6-D2D7-0941-8966-A0E936C86EC7}" name="Table Name"/>
    <tableColumn id="6" xr3:uid="{9E639B86-8D92-6143-B245-9D9AEB54E1C6}" name="Route"/>
    <tableColumn id="9" xr3:uid="{22370A8C-3554-F14C-98F8-0A626C2BE73C}" name="Method"/>
    <tableColumn id="7" xr3:uid="{DD3B95DC-CBA0-804B-8F3A-7397DDCDEEC4}" name="render_template"/>
    <tableColumn id="10" xr3:uid="{F4D1FDFF-0776-3D46-92B7-D3BEAA6ACF6F}" name="redirect"/>
    <tableColumn id="8" xr3:uid="{38E9AFD3-3301-4E42-B09E-B5DC52C127D5}" name="Argumen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0CDB06-FEC7-D84F-B9DD-4D196A1949B0}" name="tblTODOs" displayName="tblTODOs" ref="A2:D6" totalsRowShown="0">
  <autoFilter ref="A2:D6" xr:uid="{1E4EC6F8-0C5E-6945-9662-49B8EB2C07DB}"/>
  <tableColumns count="4">
    <tableColumn id="1" xr3:uid="{A95F7019-5E28-524D-83A6-A5611E0576DB}" name="TODO_ID">
      <calculatedColumnFormula>ROW()-ROW(tblTODOs[[#Headers],[TODO_ID]])</calculatedColumnFormula>
    </tableColumn>
    <tableColumn id="4" xr3:uid="{A52273C0-27BB-6B4E-9E52-DEC35D6C0210}" name="TOPIC"/>
    <tableColumn id="2" xr3:uid="{95895B59-F466-F243-84CB-FC695194C01D}" name="TODO" dataDxfId="1"/>
    <tableColumn id="3" xr3:uid="{D17CC623-F83C-1747-9AE1-BEC06C99FD1E}" name="ACTIONS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588EB7-82DF-0A44-8D62-0EC38B84D9E2}" name="tblVenue" displayName="tblVenue" ref="A2:D10" totalsRowShown="0">
  <autoFilter ref="A2:D10" xr:uid="{FEC558B2-F5B2-6541-A436-E6D3330AC95E}"/>
  <tableColumns count="4">
    <tableColumn id="1" xr3:uid="{96B9F058-3E85-0C41-8A27-FD1D04583240}" name="Columns"/>
    <tableColumn id="2" xr3:uid="{804603E0-B7B8-D44B-B573-888FC2AB4019}" name="Type"/>
    <tableColumn id="3" xr3:uid="{4222E3E5-75C9-894F-86FD-9CEB079BDE49}" name="Nullable"/>
    <tableColumn id="4" xr3:uid="{9AE881F1-4B45-B940-A278-462D3C161F55}" name="DEFAUL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18F0DDF-0BDA-1A40-8F73-844AC216A597}" name="tblArtist" displayName="tblArtist" ref="H2:K10" totalsRowShown="0">
  <autoFilter ref="H2:K10" xr:uid="{DBD6B80D-CBDB-BF48-B367-678C7A50C2F7}"/>
  <tableColumns count="4">
    <tableColumn id="1" xr3:uid="{6B88E337-EE5E-0344-AC20-FD4D27453A52}" name="Columns"/>
    <tableColumn id="2" xr3:uid="{6C3A478B-C041-3A4E-A99B-AFFE32C5E8FC}" name="Type"/>
    <tableColumn id="3" xr3:uid="{BA58FD9F-F6C9-AD45-BF4E-7377E9166E00}" name="Nullable"/>
    <tableColumn id="4" xr3:uid="{FE17DA9B-25EF-D24E-8BB3-4CFBBE76E069}" name="DEFA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D1D8689-79CC-8544-857D-8AF1A5152D19}" name="tblShows" displayName="tblShows" ref="O2:R6" totalsRowShown="0">
  <autoFilter ref="O2:R6" xr:uid="{8E023A3E-5DBF-E64F-BC8F-CF0138704D0E}"/>
  <tableColumns count="4">
    <tableColumn id="1" xr3:uid="{267286D3-C92B-084C-9A23-007F9BBB061F}" name="Columns"/>
    <tableColumn id="2" xr3:uid="{B412E715-912B-BA46-B2AC-A80A53A053C8}" name="Type"/>
    <tableColumn id="3" xr3:uid="{B7618AE9-17D3-9A41-8076-0C0A27D81C1B}" name="Nullable"/>
    <tableColumn id="4" xr3:uid="{9B918017-EC6F-614D-8F77-87F05A7F5451}" name="DEFAUL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AD0A351-1023-F14A-8E14-15B950E7DF82}" name="tblGenreAssoc" displayName="tblGenreAssoc" ref="O21:R25" totalsRowShown="0">
  <autoFilter ref="O21:R25" xr:uid="{8E95024D-2EFB-4E4D-B555-47B257274EEA}"/>
  <tableColumns count="4">
    <tableColumn id="1" xr3:uid="{A1C01BB9-098C-764B-B052-78A9E72834DF}" name="Columns"/>
    <tableColumn id="2" xr3:uid="{DB6E6F4E-8ED6-E049-A161-53FEA6ED02DA}" name="Type"/>
    <tableColumn id="3" xr3:uid="{2C626185-FAA3-C945-A216-B62A2CAD59A2}" name="Nullable"/>
    <tableColumn id="4" xr3:uid="{4BB3A879-DA2D-854D-A3F9-55AF4D4DB231}" name="DEFAUL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2C1855-F120-CA44-A69E-E51E5DCF1E08}" name="tblGenre" displayName="tblGenre" ref="O14:R16" totalsRowShown="0">
  <autoFilter ref="O14:R16" xr:uid="{6B5945AA-698E-7644-B5C4-3D8997C8F5ED}"/>
  <tableColumns count="4">
    <tableColumn id="1" xr3:uid="{744DD71B-C70C-3E44-A32F-32743512CAA1}" name="Columns"/>
    <tableColumn id="2" xr3:uid="{F5728CDC-FD54-6F46-AA7E-9037FEF8BDC8}" name="Type"/>
    <tableColumn id="3" xr3:uid="{CDBF601F-0627-3443-B117-367DCDB3CFB7}" name="Nullable"/>
    <tableColumn id="4" xr3:uid="{09D2D725-EDA8-B94B-9B07-6216294EEEB6}" name="DEFAUL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images.unsplash.com/photo-1549213783-8284d0336c4f?ixlib=rb-1.2.1&amp;ixid=eyJhcHBfaWQiOjEyMDd9&amp;auto=format&amp;fit=crop&amp;w=300&amp;q=80" TargetMode="External"/><Relationship Id="rId3" Type="http://schemas.openxmlformats.org/officeDocument/2006/relationships/hyperlink" Target="https://images.unsplash.com/photo-1497032205916-ac775f0649ae?ixlib=rb-1.2.1&amp;ixid=eyJhcHBfaWQiOjEyMDd9&amp;auto=format&amp;fit=crop&amp;w=750&amp;q=80" TargetMode="External"/><Relationship Id="rId7" Type="http://schemas.openxmlformats.org/officeDocument/2006/relationships/hyperlink" Target="https://www.gunsnpetalsband.com/" TargetMode="External"/><Relationship Id="rId12" Type="http://schemas.openxmlformats.org/officeDocument/2006/relationships/hyperlink" Target="https://images.unsplash.com/photo-1558369981-f9ca78462e61?ixlib=rb-1.2.1&amp;ixid=eyJhcHBfaWQiOjEyMDd9&amp;auto=format&amp;fit=crop&amp;w=794&amp;q=80" TargetMode="External"/><Relationship Id="rId2" Type="http://schemas.openxmlformats.org/officeDocument/2006/relationships/hyperlink" Target="https://images.unsplash.com/photo-1549213783-8284d0336c4f?ixlib=rb-1.2.1&amp;ixid=eyJhcHBfaWQiOjEyMDd9&amp;auto=format&amp;fit=crop&amp;w=300&amp;q=80" TargetMode="External"/><Relationship Id="rId1" Type="http://schemas.openxmlformats.org/officeDocument/2006/relationships/hyperlink" Target="https://www.facebook.com/TheMusicalHop" TargetMode="External"/><Relationship Id="rId6" Type="http://schemas.openxmlformats.org/officeDocument/2006/relationships/hyperlink" Target="https://www.facebook.com/ParkSquareLiveMusicAndCoffee" TargetMode="External"/><Relationship Id="rId11" Type="http://schemas.openxmlformats.org/officeDocument/2006/relationships/hyperlink" Target="https://www.facebook.com/mattquevedo923251523" TargetMode="External"/><Relationship Id="rId5" Type="http://schemas.openxmlformats.org/officeDocument/2006/relationships/hyperlink" Target="https://images.unsplash.com/photo-1485686531765-ba63b07845a7?ixlib=rb-1.2.1&amp;ixid=eyJhcHBfaWQiOjEyMDd9&amp;auto=format&amp;fit=crop&amp;w=747&amp;q=80" TargetMode="External"/><Relationship Id="rId10" Type="http://schemas.openxmlformats.org/officeDocument/2006/relationships/hyperlink" Target="https://images.unsplash.com/photo-1495223153807-b916f75de8c5?ixlib=rb-1.2.1&amp;ixid=eyJhcHBfaWQiOjEyMDd9&amp;auto=format&amp;fit=crop&amp;w=334&amp;q=80" TargetMode="External"/><Relationship Id="rId4" Type="http://schemas.openxmlformats.org/officeDocument/2006/relationships/hyperlink" Target="https://www.facebook.com/theduelingpianos" TargetMode="External"/><Relationship Id="rId9" Type="http://schemas.openxmlformats.org/officeDocument/2006/relationships/hyperlink" Target="https://www.facebook.com/GunsNPetal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23E59-1768-4549-B35A-916B2945F9A7}">
  <sheetPr codeName="Sheet1"/>
  <dimension ref="A1:J30"/>
  <sheetViews>
    <sheetView showGridLines="0" zoomScale="130" zoomScaleNormal="130" workbookViewId="0">
      <selection activeCell="B34" sqref="B34"/>
    </sheetView>
  </sheetViews>
  <sheetFormatPr baseColWidth="10" defaultRowHeight="11" x14ac:dyDescent="0.15"/>
  <cols>
    <col min="1" max="1" width="11.5" bestFit="1" customWidth="1"/>
    <col min="2" max="2" width="11" bestFit="1" customWidth="1"/>
    <col min="3" max="3" width="28.5" bestFit="1" customWidth="1"/>
    <col min="4" max="4" width="33" bestFit="1" customWidth="1"/>
    <col min="5" max="5" width="13.75" bestFit="1" customWidth="1"/>
    <col min="6" max="6" width="24.25" bestFit="1" customWidth="1"/>
    <col min="7" max="7" width="21" customWidth="1"/>
    <col min="8" max="8" width="23.5" bestFit="1" customWidth="1"/>
    <col min="9" max="9" width="11" bestFit="1" customWidth="1"/>
    <col min="10" max="10" width="60.25" bestFit="1" customWidth="1"/>
  </cols>
  <sheetData>
    <row r="1" spans="1:10" x14ac:dyDescent="0.15">
      <c r="A1" s="1"/>
      <c r="B1" s="1"/>
      <c r="C1" s="1"/>
      <c r="D1" s="1"/>
      <c r="E1" s="1"/>
      <c r="F1" s="1"/>
      <c r="G1" s="1"/>
      <c r="H1" s="1"/>
      <c r="I1" s="1"/>
    </row>
    <row r="2" spans="1:10" x14ac:dyDescent="0.15">
      <c r="A2" s="1"/>
      <c r="B2" s="1"/>
      <c r="C2" s="1"/>
      <c r="D2" s="1"/>
      <c r="E2" s="1"/>
      <c r="F2" s="1"/>
      <c r="G2" s="1"/>
      <c r="H2" s="1"/>
      <c r="I2" s="1"/>
    </row>
    <row r="3" spans="1:10" x14ac:dyDescent="0.15">
      <c r="A3" s="1"/>
      <c r="B3" s="1"/>
      <c r="C3" s="1"/>
      <c r="D3" s="1"/>
      <c r="E3" s="1"/>
      <c r="F3" s="1"/>
      <c r="G3" s="1"/>
      <c r="H3" s="1"/>
      <c r="I3" s="1"/>
    </row>
    <row r="4" spans="1:10" ht="20" x14ac:dyDescent="0.25">
      <c r="A4" s="9" t="s">
        <v>4</v>
      </c>
      <c r="B4" s="9"/>
      <c r="C4" s="9"/>
      <c r="D4" s="1"/>
      <c r="E4" s="1"/>
      <c r="F4" s="1"/>
      <c r="G4" s="1"/>
      <c r="H4" s="1"/>
      <c r="I4" s="1"/>
    </row>
    <row r="5" spans="1:10" x14ac:dyDescent="0.15">
      <c r="A5" s="1"/>
      <c r="B5" s="1"/>
      <c r="C5" s="1"/>
      <c r="D5" s="1"/>
      <c r="E5" s="1"/>
      <c r="F5" s="1"/>
      <c r="G5" s="1"/>
      <c r="H5" s="1"/>
      <c r="I5" s="1"/>
    </row>
    <row r="6" spans="1:10" x14ac:dyDescent="0.15">
      <c r="A6" s="1" t="s">
        <v>0</v>
      </c>
      <c r="B6" s="1" t="s">
        <v>1</v>
      </c>
      <c r="C6" s="1" t="s">
        <v>2</v>
      </c>
      <c r="D6" s="2" t="s">
        <v>11</v>
      </c>
      <c r="E6" s="2" t="s">
        <v>8</v>
      </c>
      <c r="F6" s="2" t="s">
        <v>3</v>
      </c>
      <c r="G6" s="2" t="s">
        <v>34</v>
      </c>
      <c r="H6" s="5" t="s">
        <v>15</v>
      </c>
      <c r="I6" s="5" t="s">
        <v>57</v>
      </c>
      <c r="J6" s="2" t="s">
        <v>20</v>
      </c>
    </row>
    <row r="7" spans="1:10" x14ac:dyDescent="0.15">
      <c r="A7" s="1" t="s">
        <v>4</v>
      </c>
      <c r="B7" s="1" t="s">
        <v>5</v>
      </c>
      <c r="C7" s="1" t="s">
        <v>6</v>
      </c>
      <c r="D7" s="1"/>
      <c r="E7" s="2" t="s">
        <v>6</v>
      </c>
      <c r="F7" s="1"/>
      <c r="G7" s="1"/>
      <c r="H7" s="1"/>
      <c r="I7" s="1"/>
      <c r="J7" s="1"/>
    </row>
    <row r="8" spans="1:10" x14ac:dyDescent="0.15">
      <c r="A8" s="1" t="s">
        <v>4</v>
      </c>
      <c r="B8" s="1" t="s">
        <v>5</v>
      </c>
      <c r="C8" s="1" t="s">
        <v>7</v>
      </c>
      <c r="D8" s="1"/>
      <c r="E8" s="2" t="s">
        <v>7</v>
      </c>
      <c r="F8" s="1"/>
      <c r="G8" s="1"/>
      <c r="H8" s="1"/>
      <c r="I8" s="1"/>
      <c r="J8" s="1"/>
    </row>
    <row r="9" spans="1:10" x14ac:dyDescent="0.15">
      <c r="A9" s="1" t="s">
        <v>4</v>
      </c>
      <c r="B9" s="2" t="s">
        <v>9</v>
      </c>
      <c r="C9" s="2" t="s">
        <v>10</v>
      </c>
      <c r="D9" s="2" t="s">
        <v>12</v>
      </c>
      <c r="E9" s="1"/>
      <c r="F9" s="1"/>
      <c r="G9" s="1"/>
      <c r="H9" s="1"/>
      <c r="I9" s="1"/>
      <c r="J9" s="1"/>
    </row>
    <row r="10" spans="1:10" x14ac:dyDescent="0.15">
      <c r="A10" s="1" t="s">
        <v>4</v>
      </c>
      <c r="B10" s="2" t="s">
        <v>3</v>
      </c>
      <c r="C10" s="2" t="s">
        <v>13</v>
      </c>
      <c r="D10" s="1"/>
      <c r="F10" s="4" t="s">
        <v>14</v>
      </c>
      <c r="G10" s="4"/>
      <c r="H10" s="1" t="s">
        <v>16</v>
      </c>
      <c r="I10" s="1"/>
      <c r="J10" s="1"/>
    </row>
    <row r="11" spans="1:10" x14ac:dyDescent="0.15">
      <c r="A11" s="1" t="s">
        <v>4</v>
      </c>
      <c r="B11" s="1" t="s">
        <v>3</v>
      </c>
      <c r="C11" s="1" t="s">
        <v>17</v>
      </c>
      <c r="D11" s="1"/>
      <c r="E11" s="1"/>
      <c r="F11" s="3" t="s">
        <v>18</v>
      </c>
      <c r="G11" s="3"/>
      <c r="H11" s="1" t="s">
        <v>19</v>
      </c>
      <c r="I11" s="1"/>
      <c r="J11" s="1" t="s">
        <v>24</v>
      </c>
    </row>
    <row r="12" spans="1:10" x14ac:dyDescent="0.15">
      <c r="A12" s="1" t="s">
        <v>4</v>
      </c>
      <c r="B12" s="1" t="s">
        <v>3</v>
      </c>
      <c r="C12" s="1" t="s">
        <v>21</v>
      </c>
      <c r="D12" s="1"/>
      <c r="E12" s="1"/>
      <c r="F12" s="1" t="s">
        <v>22</v>
      </c>
      <c r="G12" s="1" t="s">
        <v>35</v>
      </c>
      <c r="H12" s="1" t="s">
        <v>23</v>
      </c>
      <c r="I12" s="1"/>
      <c r="J12" s="1" t="s">
        <v>25</v>
      </c>
    </row>
    <row r="13" spans="1:10" x14ac:dyDescent="0.15">
      <c r="A13" s="1" t="s">
        <v>4</v>
      </c>
      <c r="B13" s="1" t="s">
        <v>3</v>
      </c>
      <c r="C13" s="1" t="s">
        <v>26</v>
      </c>
      <c r="D13" s="1"/>
      <c r="E13" s="1"/>
      <c r="F13" s="1" t="s">
        <v>27</v>
      </c>
      <c r="G13" s="1"/>
      <c r="H13" s="1" t="s">
        <v>28</v>
      </c>
      <c r="I13" s="1"/>
      <c r="J13" s="1" t="s">
        <v>29</v>
      </c>
    </row>
    <row r="14" spans="1:10" x14ac:dyDescent="0.15">
      <c r="A14" s="1" t="s">
        <v>4</v>
      </c>
      <c r="B14" s="1" t="s">
        <v>3</v>
      </c>
      <c r="C14" s="1" t="s">
        <v>37</v>
      </c>
      <c r="D14" s="1"/>
      <c r="E14" s="1"/>
      <c r="F14" s="1" t="s">
        <v>31</v>
      </c>
      <c r="G14" s="1" t="s">
        <v>36</v>
      </c>
      <c r="H14" s="1" t="s">
        <v>32</v>
      </c>
      <c r="I14" s="1"/>
      <c r="J14" s="1" t="s">
        <v>33</v>
      </c>
    </row>
    <row r="15" spans="1:10" x14ac:dyDescent="0.15">
      <c r="A15" s="1" t="s">
        <v>4</v>
      </c>
      <c r="B15" s="1" t="s">
        <v>3</v>
      </c>
      <c r="C15" s="1" t="s">
        <v>30</v>
      </c>
      <c r="D15" s="1"/>
      <c r="E15" s="1"/>
      <c r="F15" s="1" t="s">
        <v>31</v>
      </c>
      <c r="G15" s="1" t="s">
        <v>35</v>
      </c>
      <c r="H15" s="1" t="s">
        <v>16</v>
      </c>
      <c r="I15" s="1"/>
      <c r="J15" s="1"/>
    </row>
    <row r="16" spans="1:10" x14ac:dyDescent="0.15">
      <c r="A16" s="1" t="s">
        <v>4</v>
      </c>
      <c r="B16" s="1" t="s">
        <v>3</v>
      </c>
      <c r="C16" s="1" t="s">
        <v>38</v>
      </c>
      <c r="D16" s="1"/>
      <c r="E16" s="1"/>
      <c r="F16" s="1" t="s">
        <v>39</v>
      </c>
      <c r="G16" s="1" t="s">
        <v>40</v>
      </c>
      <c r="H16" s="1"/>
      <c r="I16" s="1"/>
      <c r="J16" s="1"/>
    </row>
    <row r="17" spans="1:10" x14ac:dyDescent="0.15">
      <c r="A17" s="1" t="s">
        <v>4</v>
      </c>
      <c r="B17" s="1" t="s">
        <v>3</v>
      </c>
      <c r="C17" s="1" t="s">
        <v>41</v>
      </c>
      <c r="D17" s="1"/>
      <c r="E17" s="1"/>
      <c r="F17" s="1" t="s">
        <v>42</v>
      </c>
      <c r="G17" s="1"/>
      <c r="H17" s="1" t="s">
        <v>43</v>
      </c>
      <c r="I17" s="1"/>
      <c r="J17" s="1" t="s">
        <v>44</v>
      </c>
    </row>
    <row r="18" spans="1:10" x14ac:dyDescent="0.15">
      <c r="A18" s="1" t="s">
        <v>4</v>
      </c>
      <c r="B18" s="1" t="s">
        <v>3</v>
      </c>
      <c r="C18" s="1" t="s">
        <v>45</v>
      </c>
      <c r="D18" s="1"/>
      <c r="E18" s="1"/>
      <c r="F18" s="1" t="s">
        <v>46</v>
      </c>
      <c r="G18" s="1" t="s">
        <v>35</v>
      </c>
      <c r="H18" s="1" t="s">
        <v>47</v>
      </c>
      <c r="I18" s="1"/>
      <c r="J18" s="1" t="s">
        <v>25</v>
      </c>
    </row>
    <row r="19" spans="1:10" x14ac:dyDescent="0.15">
      <c r="A19" s="1" t="s">
        <v>4</v>
      </c>
      <c r="B19" t="s">
        <v>3</v>
      </c>
      <c r="C19" t="s">
        <v>48</v>
      </c>
      <c r="F19" t="s">
        <v>49</v>
      </c>
      <c r="H19" t="s">
        <v>50</v>
      </c>
      <c r="J19" t="s">
        <v>51</v>
      </c>
    </row>
    <row r="20" spans="1:10" x14ac:dyDescent="0.15">
      <c r="A20" s="1" t="s">
        <v>4</v>
      </c>
      <c r="B20" t="s">
        <v>3</v>
      </c>
      <c r="C20" t="s">
        <v>52</v>
      </c>
      <c r="F20" t="s">
        <v>53</v>
      </c>
      <c r="G20" t="s">
        <v>36</v>
      </c>
      <c r="H20" t="s">
        <v>54</v>
      </c>
      <c r="J20" t="s">
        <v>55</v>
      </c>
    </row>
    <row r="21" spans="1:10" x14ac:dyDescent="0.15">
      <c r="A21" s="1" t="s">
        <v>4</v>
      </c>
      <c r="B21" t="s">
        <v>3</v>
      </c>
      <c r="C21" t="s">
        <v>56</v>
      </c>
      <c r="I21" t="s">
        <v>58</v>
      </c>
      <c r="J21" t="s">
        <v>59</v>
      </c>
    </row>
    <row r="22" spans="1:10" x14ac:dyDescent="0.15">
      <c r="A22" s="1" t="s">
        <v>4</v>
      </c>
      <c r="B22" t="s">
        <v>3</v>
      </c>
      <c r="C22" t="s">
        <v>60</v>
      </c>
      <c r="F22" t="s">
        <v>61</v>
      </c>
      <c r="G22" t="s">
        <v>36</v>
      </c>
      <c r="H22" t="s">
        <v>62</v>
      </c>
      <c r="J22" t="s">
        <v>63</v>
      </c>
    </row>
    <row r="23" spans="1:10" x14ac:dyDescent="0.15">
      <c r="A23" s="1" t="s">
        <v>4</v>
      </c>
      <c r="B23" t="s">
        <v>3</v>
      </c>
      <c r="C23" t="s">
        <v>64</v>
      </c>
      <c r="F23" t="s">
        <v>61</v>
      </c>
      <c r="G23" t="s">
        <v>35</v>
      </c>
      <c r="I23" t="s">
        <v>65</v>
      </c>
      <c r="J23" t="s">
        <v>66</v>
      </c>
    </row>
    <row r="24" spans="1:10" x14ac:dyDescent="0.15">
      <c r="A24" s="1" t="s">
        <v>4</v>
      </c>
      <c r="B24" t="s">
        <v>3</v>
      </c>
      <c r="C24" t="s">
        <v>67</v>
      </c>
      <c r="F24" t="s">
        <v>68</v>
      </c>
      <c r="G24" t="s">
        <v>36</v>
      </c>
      <c r="H24" t="s">
        <v>69</v>
      </c>
      <c r="J24" t="s">
        <v>70</v>
      </c>
    </row>
    <row r="25" spans="1:10" x14ac:dyDescent="0.15">
      <c r="A25" s="1" t="s">
        <v>4</v>
      </c>
      <c r="B25" t="s">
        <v>3</v>
      </c>
      <c r="C25" t="s">
        <v>71</v>
      </c>
      <c r="F25" t="s">
        <v>68</v>
      </c>
      <c r="G25" t="s">
        <v>35</v>
      </c>
      <c r="H25" t="s">
        <v>16</v>
      </c>
    </row>
    <row r="26" spans="1:10" x14ac:dyDescent="0.15">
      <c r="A26" s="1" t="s">
        <v>4</v>
      </c>
      <c r="B26" t="s">
        <v>3</v>
      </c>
      <c r="C26" t="s">
        <v>72</v>
      </c>
      <c r="F26" t="s">
        <v>73</v>
      </c>
      <c r="H26" t="s">
        <v>74</v>
      </c>
      <c r="J26" t="s">
        <v>75</v>
      </c>
    </row>
    <row r="27" spans="1:10" x14ac:dyDescent="0.15">
      <c r="A27" s="1" t="s">
        <v>4</v>
      </c>
      <c r="B27" t="s">
        <v>3</v>
      </c>
      <c r="C27" t="s">
        <v>76</v>
      </c>
      <c r="F27" t="s">
        <v>77</v>
      </c>
      <c r="H27" t="s">
        <v>78</v>
      </c>
      <c r="J27" t="s">
        <v>79</v>
      </c>
    </row>
    <row r="28" spans="1:10" x14ac:dyDescent="0.15">
      <c r="A28" s="1" t="s">
        <v>4</v>
      </c>
      <c r="B28" t="s">
        <v>3</v>
      </c>
      <c r="C28" t="s">
        <v>80</v>
      </c>
      <c r="F28" t="s">
        <v>77</v>
      </c>
      <c r="G28" t="s">
        <v>35</v>
      </c>
      <c r="H28" t="s">
        <v>16</v>
      </c>
    </row>
    <row r="29" spans="1:10" x14ac:dyDescent="0.15">
      <c r="A29" s="1" t="s">
        <v>4</v>
      </c>
      <c r="B29" t="s">
        <v>9</v>
      </c>
      <c r="C29" t="s">
        <v>81</v>
      </c>
      <c r="D29" t="s">
        <v>82</v>
      </c>
      <c r="H29" t="s">
        <v>83</v>
      </c>
    </row>
    <row r="30" spans="1:10" x14ac:dyDescent="0.15">
      <c r="A30" s="1" t="s">
        <v>4</v>
      </c>
      <c r="B30" t="s">
        <v>9</v>
      </c>
      <c r="C30" t="s">
        <v>84</v>
      </c>
      <c r="D30" t="s">
        <v>85</v>
      </c>
      <c r="H30" t="s">
        <v>86</v>
      </c>
    </row>
  </sheetData>
  <mergeCells count="1">
    <mergeCell ref="A4:C4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E9BC5-2D8A-394F-A01E-DEC378B9F1E3}">
  <sheetPr codeName="Sheet2"/>
  <dimension ref="A2:D6"/>
  <sheetViews>
    <sheetView workbookViewId="0">
      <selection activeCell="B7" sqref="B7"/>
    </sheetView>
  </sheetViews>
  <sheetFormatPr baseColWidth="10" defaultRowHeight="11" x14ac:dyDescent="0.15"/>
  <cols>
    <col min="1" max="1" width="11.5" customWidth="1"/>
    <col min="2" max="2" width="25.5" bestFit="1" customWidth="1"/>
    <col min="3" max="3" width="120.25" customWidth="1"/>
    <col min="4" max="4" width="103.25" customWidth="1"/>
  </cols>
  <sheetData>
    <row r="2" spans="1:4" x14ac:dyDescent="0.15">
      <c r="A2" t="s">
        <v>87</v>
      </c>
      <c r="B2" t="s">
        <v>94</v>
      </c>
      <c r="C2" t="s">
        <v>88</v>
      </c>
      <c r="D2" t="s">
        <v>90</v>
      </c>
    </row>
    <row r="3" spans="1:4" ht="12" x14ac:dyDescent="0.15">
      <c r="A3">
        <f>ROW()-ROW(tblTODOs[[#Headers],[TODO_ID]])</f>
        <v>1</v>
      </c>
      <c r="B3" t="s">
        <v>95</v>
      </c>
      <c r="C3" s="7" t="s">
        <v>89</v>
      </c>
      <c r="D3" s="6" t="s">
        <v>91</v>
      </c>
    </row>
    <row r="4" spans="1:4" ht="12" x14ac:dyDescent="0.15">
      <c r="A4">
        <f>ROW()-ROW(tblTODOs[[#Headers],[TODO_ID]])</f>
        <v>2</v>
      </c>
      <c r="B4" t="s">
        <v>95</v>
      </c>
      <c r="C4" s="6" t="s">
        <v>92</v>
      </c>
      <c r="D4" s="6" t="s">
        <v>93</v>
      </c>
    </row>
    <row r="5" spans="1:4" ht="12" x14ac:dyDescent="0.15">
      <c r="A5">
        <f>ROW()-ROW(tblTODOs[[#Headers],[TODO_ID]])</f>
        <v>3</v>
      </c>
      <c r="B5" t="s">
        <v>97</v>
      </c>
      <c r="C5" s="6" t="s">
        <v>96</v>
      </c>
      <c r="D5" s="6"/>
    </row>
    <row r="6" spans="1:4" ht="12" x14ac:dyDescent="0.15">
      <c r="A6">
        <f>ROW()-ROW(tblTODOs[[#Headers],[TODO_ID]])</f>
        <v>4</v>
      </c>
      <c r="B6" t="s">
        <v>98</v>
      </c>
      <c r="C6" s="6" t="s">
        <v>96</v>
      </c>
      <c r="D6" s="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09941-F060-6F43-B6F6-FD4C64FD1E5C}">
  <sheetPr codeName="Sheet3"/>
  <dimension ref="A1:R25"/>
  <sheetViews>
    <sheetView workbookViewId="0">
      <selection activeCell="O22" sqref="O22:O25"/>
    </sheetView>
  </sheetViews>
  <sheetFormatPr baseColWidth="10" defaultRowHeight="11" x14ac:dyDescent="0.15"/>
  <cols>
    <col min="1" max="1" width="12.5" bestFit="1" customWidth="1"/>
    <col min="2" max="2" width="7.75" bestFit="1" customWidth="1"/>
    <col min="3" max="3" width="10.5" bestFit="1" customWidth="1"/>
    <col min="4" max="4" width="11.25" bestFit="1" customWidth="1"/>
    <col min="15" max="15" width="11" customWidth="1"/>
    <col min="18" max="18" width="11.5" customWidth="1"/>
  </cols>
  <sheetData>
    <row r="1" spans="1:18" x14ac:dyDescent="0.15">
      <c r="A1" t="s">
        <v>99</v>
      </c>
      <c r="H1" t="s">
        <v>114</v>
      </c>
      <c r="O1" t="s">
        <v>153</v>
      </c>
    </row>
    <row r="2" spans="1:18" x14ac:dyDescent="0.15">
      <c r="A2" t="s">
        <v>100</v>
      </c>
      <c r="B2" t="s">
        <v>1</v>
      </c>
      <c r="C2" t="s">
        <v>111</v>
      </c>
      <c r="D2" t="s">
        <v>112</v>
      </c>
      <c r="H2" t="s">
        <v>100</v>
      </c>
      <c r="I2" t="s">
        <v>1</v>
      </c>
      <c r="J2" t="s">
        <v>111</v>
      </c>
      <c r="K2" t="s">
        <v>112</v>
      </c>
      <c r="O2" t="s">
        <v>100</v>
      </c>
      <c r="P2" t="s">
        <v>1</v>
      </c>
      <c r="Q2" t="s">
        <v>111</v>
      </c>
      <c r="R2" t="s">
        <v>112</v>
      </c>
    </row>
    <row r="3" spans="1:18" x14ac:dyDescent="0.15">
      <c r="A3" t="s">
        <v>101</v>
      </c>
      <c r="B3" t="s">
        <v>109</v>
      </c>
      <c r="C3" t="b">
        <v>0</v>
      </c>
      <c r="D3" t="s">
        <v>113</v>
      </c>
      <c r="H3" t="s">
        <v>115</v>
      </c>
      <c r="I3" t="s">
        <v>109</v>
      </c>
      <c r="J3" t="b">
        <v>0</v>
      </c>
      <c r="K3" t="s">
        <v>113</v>
      </c>
      <c r="O3" t="s">
        <v>154</v>
      </c>
      <c r="P3" t="s">
        <v>109</v>
      </c>
      <c r="Q3" t="b">
        <v>0</v>
      </c>
      <c r="R3" t="s">
        <v>113</v>
      </c>
    </row>
    <row r="4" spans="1:18" x14ac:dyDescent="0.15">
      <c r="A4" t="s">
        <v>102</v>
      </c>
      <c r="B4" t="s">
        <v>110</v>
      </c>
      <c r="C4" t="b">
        <v>1</v>
      </c>
      <c r="H4" t="s">
        <v>102</v>
      </c>
      <c r="I4" t="s">
        <v>110</v>
      </c>
      <c r="J4" t="b">
        <v>1</v>
      </c>
      <c r="O4" t="s">
        <v>101</v>
      </c>
      <c r="P4" t="s">
        <v>109</v>
      </c>
      <c r="Q4" t="b">
        <v>1</v>
      </c>
    </row>
    <row r="5" spans="1:18" x14ac:dyDescent="0.15">
      <c r="A5" t="s">
        <v>103</v>
      </c>
      <c r="B5" t="s">
        <v>110</v>
      </c>
      <c r="C5" t="b">
        <v>1</v>
      </c>
      <c r="H5" t="s">
        <v>103</v>
      </c>
      <c r="I5" t="s">
        <v>110</v>
      </c>
      <c r="J5" t="b">
        <v>1</v>
      </c>
      <c r="O5" t="s">
        <v>115</v>
      </c>
      <c r="P5" t="s">
        <v>109</v>
      </c>
      <c r="Q5" t="b">
        <v>1</v>
      </c>
    </row>
    <row r="6" spans="1:18" x14ac:dyDescent="0.15">
      <c r="A6" t="s">
        <v>104</v>
      </c>
      <c r="B6" t="s">
        <v>110</v>
      </c>
      <c r="C6" t="b">
        <v>1</v>
      </c>
      <c r="H6" t="s">
        <v>104</v>
      </c>
      <c r="I6" t="s">
        <v>110</v>
      </c>
      <c r="J6" t="b">
        <v>1</v>
      </c>
      <c r="O6" t="s">
        <v>155</v>
      </c>
      <c r="P6" t="s">
        <v>156</v>
      </c>
      <c r="Q6" t="b">
        <v>0</v>
      </c>
    </row>
    <row r="7" spans="1:18" x14ac:dyDescent="0.15">
      <c r="A7" t="s">
        <v>105</v>
      </c>
      <c r="B7" t="s">
        <v>110</v>
      </c>
      <c r="C7" t="b">
        <v>1</v>
      </c>
      <c r="H7" t="s">
        <v>106</v>
      </c>
      <c r="I7" t="s">
        <v>110</v>
      </c>
      <c r="J7" t="b">
        <v>1</v>
      </c>
    </row>
    <row r="8" spans="1:18" x14ac:dyDescent="0.15">
      <c r="A8" t="s">
        <v>106</v>
      </c>
      <c r="B8" t="s">
        <v>110</v>
      </c>
      <c r="C8" t="b">
        <v>1</v>
      </c>
      <c r="H8" t="s">
        <v>116</v>
      </c>
      <c r="I8" t="s">
        <v>110</v>
      </c>
      <c r="J8" t="b">
        <v>1</v>
      </c>
    </row>
    <row r="9" spans="1:18" x14ac:dyDescent="0.15">
      <c r="A9" t="s">
        <v>107</v>
      </c>
      <c r="B9" t="s">
        <v>110</v>
      </c>
      <c r="C9" t="b">
        <v>1</v>
      </c>
      <c r="H9" t="s">
        <v>107</v>
      </c>
      <c r="I9" t="s">
        <v>110</v>
      </c>
      <c r="J9" t="b">
        <v>1</v>
      </c>
    </row>
    <row r="10" spans="1:18" x14ac:dyDescent="0.15">
      <c r="A10" t="s">
        <v>108</v>
      </c>
      <c r="B10" t="s">
        <v>110</v>
      </c>
      <c r="C10" t="b">
        <v>1</v>
      </c>
      <c r="H10" t="s">
        <v>108</v>
      </c>
      <c r="I10" t="s">
        <v>110</v>
      </c>
      <c r="J10" t="b">
        <v>1</v>
      </c>
    </row>
    <row r="13" spans="1:18" x14ac:dyDescent="0.15">
      <c r="O13" t="s">
        <v>172</v>
      </c>
    </row>
    <row r="14" spans="1:18" x14ac:dyDescent="0.15">
      <c r="O14" t="s">
        <v>100</v>
      </c>
      <c r="P14" t="s">
        <v>1</v>
      </c>
      <c r="Q14" t="s">
        <v>111</v>
      </c>
      <c r="R14" t="s">
        <v>112</v>
      </c>
    </row>
    <row r="15" spans="1:18" x14ac:dyDescent="0.15">
      <c r="A15" t="s">
        <v>117</v>
      </c>
      <c r="O15" t="s">
        <v>173</v>
      </c>
      <c r="P15" t="s">
        <v>109</v>
      </c>
      <c r="Q15" t="b">
        <v>0</v>
      </c>
      <c r="R15" t="s">
        <v>113</v>
      </c>
    </row>
    <row r="16" spans="1:18" x14ac:dyDescent="0.15">
      <c r="A16" t="s">
        <v>118</v>
      </c>
      <c r="B16" t="s">
        <v>122</v>
      </c>
      <c r="O16" t="s">
        <v>174</v>
      </c>
      <c r="P16" t="s">
        <v>110</v>
      </c>
      <c r="Q16" t="b">
        <v>0</v>
      </c>
    </row>
    <row r="17" spans="1:18" x14ac:dyDescent="0.15">
      <c r="A17" t="s">
        <v>119</v>
      </c>
      <c r="B17" t="s">
        <v>122</v>
      </c>
    </row>
    <row r="19" spans="1:18" x14ac:dyDescent="0.15">
      <c r="A19" t="s">
        <v>120</v>
      </c>
    </row>
    <row r="20" spans="1:18" x14ac:dyDescent="0.15">
      <c r="A20" t="s">
        <v>121</v>
      </c>
      <c r="O20" t="s">
        <v>175</v>
      </c>
    </row>
    <row r="21" spans="1:18" x14ac:dyDescent="0.15">
      <c r="O21" t="s">
        <v>100</v>
      </c>
      <c r="P21" t="s">
        <v>1</v>
      </c>
      <c r="Q21" t="s">
        <v>111</v>
      </c>
      <c r="R21" t="s">
        <v>112</v>
      </c>
    </row>
    <row r="22" spans="1:18" x14ac:dyDescent="0.15">
      <c r="A22" t="s">
        <v>123</v>
      </c>
      <c r="B22" t="s">
        <v>124</v>
      </c>
      <c r="C22" t="s">
        <v>125</v>
      </c>
      <c r="O22" t="s">
        <v>176</v>
      </c>
      <c r="P22" t="s">
        <v>109</v>
      </c>
      <c r="Q22" t="b">
        <v>0</v>
      </c>
      <c r="R22" t="s">
        <v>113</v>
      </c>
    </row>
    <row r="23" spans="1:18" x14ac:dyDescent="0.15">
      <c r="O23" t="s">
        <v>173</v>
      </c>
      <c r="P23" t="s">
        <v>109</v>
      </c>
      <c r="Q23" t="b">
        <v>0</v>
      </c>
    </row>
    <row r="24" spans="1:18" x14ac:dyDescent="0.15">
      <c r="A24" t="s">
        <v>126</v>
      </c>
      <c r="O24" t="s">
        <v>101</v>
      </c>
      <c r="P24" t="s">
        <v>109</v>
      </c>
      <c r="Q24" t="b">
        <v>0</v>
      </c>
    </row>
    <row r="25" spans="1:18" x14ac:dyDescent="0.15">
      <c r="O25" t="s">
        <v>115</v>
      </c>
      <c r="P25" t="s">
        <v>109</v>
      </c>
      <c r="Q25" t="b">
        <v>0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B3D3F-E10A-664F-A3F1-937F9AD4C41D}">
  <sheetPr codeName="Sheet4"/>
  <dimension ref="B3:V56"/>
  <sheetViews>
    <sheetView tabSelected="1" workbookViewId="0">
      <selection activeCell="I39" sqref="I39"/>
    </sheetView>
  </sheetViews>
  <sheetFormatPr baseColWidth="10" defaultRowHeight="11" x14ac:dyDescent="0.15"/>
  <sheetData>
    <row r="3" spans="2:22" x14ac:dyDescent="0.15">
      <c r="B3" t="s">
        <v>101</v>
      </c>
      <c r="C3" t="s">
        <v>102</v>
      </c>
      <c r="D3" t="s">
        <v>103</v>
      </c>
      <c r="E3" t="s">
        <v>104</v>
      </c>
      <c r="F3" t="s">
        <v>105</v>
      </c>
      <c r="G3" t="s">
        <v>106</v>
      </c>
      <c r="H3" t="s">
        <v>107</v>
      </c>
      <c r="I3" t="s">
        <v>108</v>
      </c>
      <c r="O3" t="s">
        <v>116</v>
      </c>
      <c r="P3" t="s">
        <v>134</v>
      </c>
      <c r="Q3" t="s">
        <v>135</v>
      </c>
      <c r="R3" t="s">
        <v>136</v>
      </c>
      <c r="S3" t="s">
        <v>137</v>
      </c>
      <c r="T3" t="s">
        <v>138</v>
      </c>
      <c r="U3" t="s">
        <v>139</v>
      </c>
      <c r="V3" t="s">
        <v>140</v>
      </c>
    </row>
    <row r="4" spans="2:22" x14ac:dyDescent="0.15">
      <c r="C4" t="s">
        <v>127</v>
      </c>
      <c r="D4" t="s">
        <v>128</v>
      </c>
      <c r="E4" t="s">
        <v>129</v>
      </c>
      <c r="F4" t="s">
        <v>130</v>
      </c>
      <c r="G4" t="s">
        <v>131</v>
      </c>
      <c r="H4" s="8" t="s">
        <v>133</v>
      </c>
      <c r="I4" s="8" t="s">
        <v>132</v>
      </c>
      <c r="O4" t="s">
        <v>158</v>
      </c>
      <c r="S4" t="s">
        <v>160</v>
      </c>
      <c r="T4" t="s">
        <v>160</v>
      </c>
      <c r="U4" t="s">
        <v>159</v>
      </c>
      <c r="V4" t="s">
        <v>159</v>
      </c>
    </row>
    <row r="5" spans="2:22" x14ac:dyDescent="0.15">
      <c r="C5" t="s">
        <v>141</v>
      </c>
      <c r="D5" t="s">
        <v>142</v>
      </c>
      <c r="E5" t="s">
        <v>143</v>
      </c>
      <c r="F5" t="s">
        <v>144</v>
      </c>
      <c r="G5" t="s">
        <v>145</v>
      </c>
      <c r="H5" s="8" t="s">
        <v>146</v>
      </c>
      <c r="I5" s="8" t="s">
        <v>147</v>
      </c>
    </row>
    <row r="6" spans="2:22" x14ac:dyDescent="0.15">
      <c r="C6" t="s">
        <v>148</v>
      </c>
      <c r="D6" t="s">
        <v>128</v>
      </c>
      <c r="E6" t="s">
        <v>129</v>
      </c>
      <c r="F6" t="s">
        <v>149</v>
      </c>
      <c r="G6" t="s">
        <v>150</v>
      </c>
      <c r="H6" s="8" t="s">
        <v>151</v>
      </c>
      <c r="I6" s="8" t="s">
        <v>152</v>
      </c>
    </row>
    <row r="11" spans="2:22" x14ac:dyDescent="0.15">
      <c r="B11" t="s">
        <v>115</v>
      </c>
      <c r="C11" t="s">
        <v>102</v>
      </c>
      <c r="D11" t="s">
        <v>103</v>
      </c>
      <c r="E11" t="s">
        <v>104</v>
      </c>
      <c r="F11" t="s">
        <v>106</v>
      </c>
      <c r="G11" t="s">
        <v>134</v>
      </c>
      <c r="H11" t="s">
        <v>107</v>
      </c>
      <c r="I11" t="s">
        <v>108</v>
      </c>
      <c r="O11" t="s">
        <v>116</v>
      </c>
      <c r="P11" t="s">
        <v>134</v>
      </c>
      <c r="Q11" t="s">
        <v>157</v>
      </c>
      <c r="R11" t="s">
        <v>136</v>
      </c>
      <c r="S11" t="s">
        <v>137</v>
      </c>
      <c r="T11" t="s">
        <v>138</v>
      </c>
      <c r="U11" t="s">
        <v>139</v>
      </c>
      <c r="V11" t="s">
        <v>140</v>
      </c>
    </row>
    <row r="12" spans="2:22" x14ac:dyDescent="0.15">
      <c r="C12" t="s">
        <v>161</v>
      </c>
      <c r="D12" t="s">
        <v>128</v>
      </c>
      <c r="E12" t="s">
        <v>129</v>
      </c>
      <c r="F12" t="s">
        <v>162</v>
      </c>
      <c r="G12" s="8" t="s">
        <v>163</v>
      </c>
      <c r="H12" s="8" t="s">
        <v>133</v>
      </c>
      <c r="I12" s="8" t="s">
        <v>164</v>
      </c>
      <c r="O12" t="s">
        <v>158</v>
      </c>
      <c r="S12" t="s">
        <v>160</v>
      </c>
      <c r="T12" t="s">
        <v>160</v>
      </c>
      <c r="U12" t="s">
        <v>159</v>
      </c>
      <c r="V12" t="s">
        <v>159</v>
      </c>
    </row>
    <row r="13" spans="2:22" x14ac:dyDescent="0.15">
      <c r="C13" t="s">
        <v>165</v>
      </c>
      <c r="D13" t="s">
        <v>142</v>
      </c>
      <c r="E13" t="s">
        <v>143</v>
      </c>
      <c r="F13" t="s">
        <v>166</v>
      </c>
      <c r="H13" s="8" t="s">
        <v>167</v>
      </c>
      <c r="I13" s="8" t="s">
        <v>168</v>
      </c>
    </row>
    <row r="14" spans="2:22" x14ac:dyDescent="0.15">
      <c r="C14" t="s">
        <v>169</v>
      </c>
      <c r="D14" t="s">
        <v>128</v>
      </c>
      <c r="E14" t="s">
        <v>129</v>
      </c>
      <c r="F14" t="s">
        <v>170</v>
      </c>
      <c r="H14" s="8" t="s">
        <v>171</v>
      </c>
    </row>
    <row r="20" spans="2:4" x14ac:dyDescent="0.15">
      <c r="C20" t="s">
        <v>174</v>
      </c>
    </row>
    <row r="21" spans="2:4" x14ac:dyDescent="0.15">
      <c r="B21">
        <f>LEN(C21)</f>
        <v>9</v>
      </c>
      <c r="C21" t="s">
        <v>180</v>
      </c>
      <c r="D21" t="str">
        <f>"INSERT INTO ""Genres"" (genre) VALUES ('"&amp;C21&amp;"');"</f>
        <v>INSERT INTO "Genres" (genre) VALUES ('Classical');</v>
      </c>
    </row>
    <row r="22" spans="2:4" x14ac:dyDescent="0.15">
      <c r="B22">
        <f t="shared" ref="B22:B41" si="0">LEN(C22)</f>
        <v>4</v>
      </c>
      <c r="C22" t="s">
        <v>181</v>
      </c>
      <c r="D22" t="str">
        <f t="shared" ref="D22:D41" si="1">"INSERT INTO ""Genres"" (genre) VALUES ('"&amp;C22&amp;"');"</f>
        <v>INSERT INTO "Genres" (genre) VALUES ('Folk');</v>
      </c>
    </row>
    <row r="23" spans="2:4" x14ac:dyDescent="0.15">
      <c r="B23">
        <f t="shared" si="0"/>
        <v>7</v>
      </c>
      <c r="C23" t="s">
        <v>184</v>
      </c>
      <c r="D23" t="str">
        <f t="shared" si="1"/>
        <v>INSERT INTO "Genres" (genre) VALUES ('Hip-Hop');</v>
      </c>
    </row>
    <row r="24" spans="2:4" x14ac:dyDescent="0.15">
      <c r="B24">
        <f t="shared" si="0"/>
        <v>4</v>
      </c>
      <c r="C24" t="s">
        <v>177</v>
      </c>
      <c r="D24" t="str">
        <f t="shared" si="1"/>
        <v>INSERT INTO "Genres" (genre) VALUES ('Jazz');</v>
      </c>
    </row>
    <row r="25" spans="2:4" x14ac:dyDescent="0.15">
      <c r="B25">
        <f t="shared" si="0"/>
        <v>3</v>
      </c>
      <c r="C25" t="s">
        <v>183</v>
      </c>
      <c r="D25" t="str">
        <f t="shared" si="1"/>
        <v>INSERT INTO "Genres" (genre) VALUES ('R&amp;B');</v>
      </c>
    </row>
    <row r="26" spans="2:4" x14ac:dyDescent="0.15">
      <c r="B26">
        <f t="shared" si="0"/>
        <v>6</v>
      </c>
      <c r="C26" t="s">
        <v>178</v>
      </c>
      <c r="D26" t="str">
        <f t="shared" si="1"/>
        <v>INSERT INTO "Genres" (genre) VALUES ('Reggae');</v>
      </c>
    </row>
    <row r="27" spans="2:4" x14ac:dyDescent="0.15">
      <c r="B27">
        <f t="shared" si="0"/>
        <v>11</v>
      </c>
      <c r="C27" t="s">
        <v>182</v>
      </c>
      <c r="D27" t="str">
        <f t="shared" si="1"/>
        <v>INSERT INTO "Genres" (genre) VALUES ('Rock n Roll');</v>
      </c>
    </row>
    <row r="28" spans="2:4" x14ac:dyDescent="0.15">
      <c r="B28">
        <f t="shared" si="0"/>
        <v>5</v>
      </c>
      <c r="C28" t="s">
        <v>179</v>
      </c>
      <c r="D28" t="str">
        <f t="shared" si="1"/>
        <v>INSERT INTO "Genres" (genre) VALUES ('Swing');</v>
      </c>
    </row>
    <row r="30" spans="2:4" x14ac:dyDescent="0.15">
      <c r="B30">
        <f t="shared" si="0"/>
        <v>11</v>
      </c>
      <c r="C30" t="s">
        <v>186</v>
      </c>
      <c r="D30" t="str">
        <f t="shared" si="1"/>
        <v>INSERT INTO "Genres" (genre) VALUES ('Alternative');</v>
      </c>
    </row>
    <row r="31" spans="2:4" x14ac:dyDescent="0.15">
      <c r="B31">
        <f t="shared" si="0"/>
        <v>5</v>
      </c>
      <c r="C31" t="s">
        <v>187</v>
      </c>
      <c r="D31" t="str">
        <f t="shared" si="1"/>
        <v>INSERT INTO "Genres" (genre) VALUES ('Blues');</v>
      </c>
    </row>
    <row r="32" spans="2:4" x14ac:dyDescent="0.15">
      <c r="B32">
        <f t="shared" si="0"/>
        <v>7</v>
      </c>
      <c r="C32" t="s">
        <v>188</v>
      </c>
      <c r="D32" t="str">
        <f t="shared" si="1"/>
        <v>INSERT INTO "Genres" (genre) VALUES ('Country');</v>
      </c>
    </row>
    <row r="33" spans="2:4" x14ac:dyDescent="0.15">
      <c r="B33">
        <f t="shared" si="0"/>
        <v>10</v>
      </c>
      <c r="C33" t="s">
        <v>189</v>
      </c>
      <c r="D33" t="str">
        <f t="shared" si="1"/>
        <v>INSERT INTO "Genres" (genre) VALUES ('Electronic');</v>
      </c>
    </row>
    <row r="34" spans="2:4" x14ac:dyDescent="0.15">
      <c r="B34">
        <f t="shared" si="0"/>
        <v>4</v>
      </c>
      <c r="C34" t="s">
        <v>190</v>
      </c>
      <c r="D34" t="str">
        <f t="shared" si="1"/>
        <v>INSERT INTO "Genres" (genre) VALUES ('Funk');</v>
      </c>
    </row>
    <row r="35" spans="2:4" x14ac:dyDescent="0.15">
      <c r="B35">
        <f t="shared" si="0"/>
        <v>11</v>
      </c>
      <c r="C35" t="s">
        <v>191</v>
      </c>
      <c r="D35" t="str">
        <f t="shared" si="1"/>
        <v>INSERT INTO "Genres" (genre) VALUES ('Heavy Metal');</v>
      </c>
    </row>
    <row r="36" spans="2:4" x14ac:dyDescent="0.15">
      <c r="B36">
        <f t="shared" si="0"/>
        <v>12</v>
      </c>
      <c r="C36" t="s">
        <v>192</v>
      </c>
      <c r="D36" t="str">
        <f t="shared" si="1"/>
        <v>INSERT INTO "Genres" (genre) VALUES ('Instrumental');</v>
      </c>
    </row>
    <row r="37" spans="2:4" x14ac:dyDescent="0.15">
      <c r="B37">
        <f t="shared" si="0"/>
        <v>15</v>
      </c>
      <c r="C37" t="s">
        <v>193</v>
      </c>
      <c r="D37" t="str">
        <f t="shared" si="1"/>
        <v>INSERT INTO "Genres" (genre) VALUES ('Musical Theatre');</v>
      </c>
    </row>
    <row r="38" spans="2:4" x14ac:dyDescent="0.15">
      <c r="B38">
        <f t="shared" si="0"/>
        <v>3</v>
      </c>
      <c r="C38" t="s">
        <v>194</v>
      </c>
      <c r="D38" t="str">
        <f t="shared" si="1"/>
        <v>INSERT INTO "Genres" (genre) VALUES ('Pop');</v>
      </c>
    </row>
    <row r="39" spans="2:4" x14ac:dyDescent="0.15">
      <c r="B39">
        <f t="shared" si="0"/>
        <v>4</v>
      </c>
      <c r="C39" t="s">
        <v>195</v>
      </c>
      <c r="D39" t="str">
        <f t="shared" si="1"/>
        <v>INSERT INTO "Genres" (genre) VALUES ('Punk');</v>
      </c>
    </row>
    <row r="40" spans="2:4" x14ac:dyDescent="0.15">
      <c r="B40">
        <f t="shared" si="0"/>
        <v>4</v>
      </c>
      <c r="C40" t="s">
        <v>196</v>
      </c>
      <c r="D40" t="str">
        <f t="shared" si="1"/>
        <v>INSERT INTO "Genres" (genre) VALUES ('Soul');</v>
      </c>
    </row>
    <row r="41" spans="2:4" x14ac:dyDescent="0.15">
      <c r="B41">
        <f t="shared" si="0"/>
        <v>5</v>
      </c>
      <c r="C41" t="s">
        <v>197</v>
      </c>
      <c r="D41" t="str">
        <f t="shared" si="1"/>
        <v>INSERT INTO "Genres" (genre) VALUES ('Other');</v>
      </c>
    </row>
    <row r="53" spans="3:6" x14ac:dyDescent="0.15">
      <c r="C53" t="s">
        <v>101</v>
      </c>
      <c r="D53" t="s">
        <v>102</v>
      </c>
      <c r="E53" t="s">
        <v>135</v>
      </c>
      <c r="F53" t="s">
        <v>136</v>
      </c>
    </row>
    <row r="54" spans="3:6" x14ac:dyDescent="0.15">
      <c r="C54">
        <v>1</v>
      </c>
      <c r="D54" t="s">
        <v>127</v>
      </c>
      <c r="E54" t="b">
        <v>1</v>
      </c>
      <c r="F54" t="s">
        <v>185</v>
      </c>
    </row>
    <row r="55" spans="3:6" x14ac:dyDescent="0.15">
      <c r="C55">
        <v>2</v>
      </c>
      <c r="D55" t="s">
        <v>141</v>
      </c>
      <c r="E55" t="b">
        <v>0</v>
      </c>
    </row>
    <row r="56" spans="3:6" x14ac:dyDescent="0.15">
      <c r="C56">
        <v>3</v>
      </c>
      <c r="D56" t="s">
        <v>148</v>
      </c>
      <c r="E56" t="b">
        <v>0</v>
      </c>
    </row>
  </sheetData>
  <sortState xmlns:xlrd2="http://schemas.microsoft.com/office/spreadsheetml/2017/richdata2" ref="C21:C28">
    <sortCondition ref="C21:C28"/>
  </sortState>
  <hyperlinks>
    <hyperlink ref="I4" r:id="rId1" xr:uid="{FD3793B3-5693-DD44-B490-1C2BAC4F11FF}"/>
    <hyperlink ref="H4" r:id="rId2" xr:uid="{FBD85B9C-0B47-0249-992B-289DE796C3F2}"/>
    <hyperlink ref="H5" r:id="rId3" xr:uid="{5E340A11-807D-8547-8E76-9EC956123A30}"/>
    <hyperlink ref="I5" r:id="rId4" xr:uid="{CEC9DB94-AD33-F340-A3A6-B3FEBB5D3455}"/>
    <hyperlink ref="H6" r:id="rId5" xr:uid="{3311B94C-3F69-F940-A5A6-E00366367E97}"/>
    <hyperlink ref="I6" r:id="rId6" xr:uid="{02A895DE-4B79-2241-BEAF-9396B50AF666}"/>
    <hyperlink ref="G12" r:id="rId7" xr:uid="{08AF4761-55A7-E44F-9683-E80EC5A65F1E}"/>
    <hyperlink ref="H12" r:id="rId8" xr:uid="{5E3227C3-329E-FB40-B59E-CDAE77000353}"/>
    <hyperlink ref="I12" r:id="rId9" xr:uid="{F29FBF57-69D7-324F-AE1C-B8B086F8027F}"/>
    <hyperlink ref="H13" r:id="rId10" xr:uid="{181AE4F9-7C4C-C542-9788-EC98B26DC8B5}"/>
    <hyperlink ref="I13" r:id="rId11" xr:uid="{4DF72F5A-E7DD-4F4D-8AB7-D1981B936451}"/>
    <hyperlink ref="H14" r:id="rId12" xr:uid="{1B5E142A-7FBA-0D4D-A9BB-B1BDA4FD5C5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app.py</vt:lpstr>
      <vt:lpstr>TODOs</vt:lpstr>
      <vt:lpstr>Tables</vt:lpstr>
      <vt:lpstr>Scratchpad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Usher</dc:creator>
  <cp:lastModifiedBy>Steve Usher</cp:lastModifiedBy>
  <dcterms:created xsi:type="dcterms:W3CDTF">2021-05-28T17:07:16Z</dcterms:created>
  <dcterms:modified xsi:type="dcterms:W3CDTF">2021-06-02T16:45:12Z</dcterms:modified>
</cp:coreProperties>
</file>